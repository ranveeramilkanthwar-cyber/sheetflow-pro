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1_Transactions" sheetId="1" r:id="rId1"/>
    <sheet name="2_Budgets" sheetId="2" r:id="rId2"/>
    <sheet name="3_Recurring" sheetId="3" r:id="rId3"/>
    <sheet name="4_Analytics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Timestamp</t>
        </is>
      </c>
      <c r="C1" t="inlineStr">
        <is>
          <t>Type</t>
        </is>
      </c>
      <c r="D1" t="inlineStr">
        <is>
          <t>Category</t>
        </is>
      </c>
      <c r="E1" t="inlineStr">
        <is>
          <t>Bucket</t>
        </is>
      </c>
      <c r="F1" t="inlineStr">
        <is>
          <t>Amount</t>
        </is>
      </c>
      <c r="G1" t="inlineStr">
        <is>
          <t>Mode</t>
        </is>
      </c>
      <c r="H1" t="inlineStr">
        <is>
          <t>Source</t>
        </is>
      </c>
      <c r="I1" t="inlineStr">
        <is>
          <t>Notes</t>
        </is>
      </c>
      <c r="J1" t="inlineStr">
        <is>
          <t>Is_Recurring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Bucket</t>
        </is>
      </c>
      <c r="C1" t="inlineStr">
        <is>
          <t>Monthly_Limit</t>
        </is>
      </c>
      <c r="D1" t="inlineStr">
        <is>
          <t>Current_Spend</t>
        </is>
      </c>
      <c r="E1" t="inlineStr">
        <is>
          <t>Burn_Pct</t>
        </is>
      </c>
    </row>
    <row r="2">
      <c r="A2" t="inlineStr">
        <is>
          <t>Food &amp; Drinks</t>
        </is>
      </c>
      <c r="B2" t="inlineStr">
        <is>
          <t>Needs</t>
        </is>
      </c>
      <c r="C2">
        <v>4000</v>
      </c>
      <c r="D2">
        <f>SUMIFS('1_Transactions'!F:F, '1_Transactions'!D:D, A2)</f>
      </c>
      <c r="E2">
        <f>D2/C2</f>
      </c>
    </row>
    <row r="3">
      <c r="A3" t="inlineStr">
        <is>
          <t>Groceries</t>
        </is>
      </c>
      <c r="B3" t="inlineStr">
        <is>
          <t>Needs</t>
        </is>
      </c>
      <c r="C3">
        <v>3500</v>
      </c>
      <c r="D3">
        <f>SUMIFS('1_Transactions'!F:F, '1_Transactions'!D:D, A3)</f>
      </c>
      <c r="E3">
        <f>D3/C3</f>
      </c>
    </row>
    <row r="4">
      <c r="A4" t="inlineStr">
        <is>
          <t>Transport &amp; Fuel</t>
        </is>
      </c>
      <c r="B4" t="inlineStr">
        <is>
          <t>Needs</t>
        </is>
      </c>
      <c r="C4">
        <v>2000</v>
      </c>
      <c r="D4">
        <f>SUMIFS('1_Transactions'!F:F, '1_Transactions'!D:D, A4)</f>
      </c>
      <c r="E4">
        <f>D4/C4</f>
      </c>
    </row>
    <row r="5">
      <c r="A5" t="inlineStr">
        <is>
          <t>Shopping</t>
        </is>
      </c>
      <c r="B5" t="inlineStr">
        <is>
          <t>Wants</t>
        </is>
      </c>
      <c r="C5">
        <v>2500</v>
      </c>
      <c r="D5">
        <f>SUMIFS('1_Transactions'!F:F, '1_Transactions'!D:D, A5)</f>
      </c>
      <c r="E5">
        <f>D5/C5</f>
      </c>
    </row>
    <row r="6">
      <c r="A6" t="inlineStr">
        <is>
          <t>Entertainment</t>
        </is>
      </c>
      <c r="B6" t="inlineStr">
        <is>
          <t>Wants</t>
        </is>
      </c>
      <c r="C6">
        <v>1500</v>
      </c>
      <c r="D6">
        <f>SUMIFS('1_Transactions'!F:F, '1_Transactions'!D:D, A6)</f>
      </c>
      <c r="E6">
        <f>D6/C6</f>
      </c>
    </row>
    <row r="7">
      <c r="A7" t="inlineStr">
        <is>
          <t>Investments</t>
        </is>
      </c>
      <c r="B7" t="inlineStr">
        <is>
          <t>Savings</t>
        </is>
      </c>
      <c r="C7">
        <v>3000</v>
      </c>
      <c r="D7">
        <f>SUMIFS('1_Transactions'!F:F, '1_Transactions'!D:D, A7)</f>
      </c>
      <c r="E7">
        <f>D7/C7</f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Sub_ID</t>
        </is>
      </c>
      <c r="B1" t="inlineStr">
        <is>
          <t>Name</t>
        </is>
      </c>
      <c r="C1" t="inlineStr">
        <is>
          <t>Amount</t>
        </is>
      </c>
      <c r="D1" t="inlineStr">
        <is>
          <t>Billing_Day</t>
        </is>
      </c>
      <c r="E1" t="inlineStr">
        <is>
          <t>Category</t>
        </is>
      </c>
      <c r="F1" t="inlineStr">
        <is>
          <t>Status</t>
        </is>
      </c>
    </row>
    <row r="2">
      <c r="A2" t="inlineStr">
        <is>
          <t>SUB-001</t>
        </is>
      </c>
      <c r="B2" t="inlineStr">
        <is>
          <t>Netflix</t>
        </is>
      </c>
      <c r="C2">
        <v>199</v>
      </c>
      <c r="D2">
        <v>5</v>
      </c>
      <c r="E2" t="inlineStr">
        <is>
          <t>Subscriptions</t>
        </is>
      </c>
      <c r="F2" t="inlineStr">
        <is>
          <t>Active</t>
        </is>
      </c>
    </row>
    <row r="3">
      <c r="A3" t="inlineStr">
        <is>
          <t>SUB-002</t>
        </is>
      </c>
      <c r="B3" t="inlineStr">
        <is>
          <t>Spotify</t>
        </is>
      </c>
      <c r="C3">
        <v>119</v>
      </c>
      <c r="D3">
        <v>12</v>
      </c>
      <c r="E3" t="inlineStr">
        <is>
          <t>Subscriptions</t>
        </is>
      </c>
      <c r="F3" t="inlineStr">
        <is>
          <t>Active</t>
        </is>
      </c>
    </row>
    <row r="4">
      <c r="A4" t="inlineStr">
        <is>
          <t>SUB-003</t>
        </is>
      </c>
      <c r="B4" t="inlineStr">
        <is>
          <t>Jio Fiber</t>
        </is>
      </c>
      <c r="C4">
        <v>470</v>
      </c>
      <c r="D4">
        <v>20</v>
      </c>
      <c r="E4" t="inlineStr">
        <is>
          <t>Bills &amp; Utilities</t>
        </is>
      </c>
      <c r="F4" t="inlineStr">
        <is>
          <t>Active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Month_Year</t>
        </is>
      </c>
      <c r="B1" t="inlineStr">
        <is>
          <t>Total_Income</t>
        </is>
      </c>
      <c r="C1" t="inlineStr">
        <is>
          <t>Needs_Spent</t>
        </is>
      </c>
      <c r="D1" t="inlineStr">
        <is>
          <t>Wants_Spent</t>
        </is>
      </c>
      <c r="E1" t="inlineStr">
        <is>
          <t>Net_Savings</t>
        </is>
      </c>
      <c r="F1" t="inlineStr">
        <is>
          <t>Savings_Rate</t>
        </is>
      </c>
    </row>
    <row r="2">
      <c r="A2" t="inlineStr">
        <is>
          <t>Current Month</t>
        </is>
      </c>
      <c r="B2">
        <f>SUMIF('1_Transactions'!C:C, "Income", '1_Transactions'!F:F)</f>
      </c>
      <c r="C2">
        <f>SUMIFS('1_Transactions'!F:F, '1_Transactions'!C:C, "Expense", '1_Transactions'!E:E, "Needs")</f>
      </c>
      <c r="D2">
        <f>SUMIFS('1_Transactions'!F:F, '1_Transactions'!C:C, "Expense", '1_Transactions'!E:E, "Wants")</f>
      </c>
      <c r="E2">
        <f>B2 - (C2 + D2)</f>
      </c>
      <c r="F2">
        <f>IF(B2&gt;0, E2/B2, 0)</f>
      </c>
    </row>
  </sheetData>
</worksheet>
</file>